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dmin\Mapup\MapUp-Data-Assessment-F\"/>
    </mc:Choice>
  </mc:AlternateContent>
  <bookViews>
    <workbookView xWindow="0" yWindow="495" windowWidth="29400" windowHeight="16305" tabRatio="849" activeTab="5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8" l="1"/>
  <c r="E28" i="18"/>
  <c r="E29" i="18"/>
  <c r="F28" i="18"/>
  <c r="F29" i="18"/>
  <c r="F30" i="18"/>
  <c r="E30" i="18"/>
  <c r="D30" i="18"/>
  <c r="D29" i="18"/>
  <c r="B30" i="18"/>
  <c r="B29" i="18"/>
  <c r="B28" i="18"/>
  <c r="C30" i="18"/>
  <c r="C29" i="18"/>
  <c r="C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D6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</calcChain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<sst xmlns="http://schemas.openxmlformats.org/spreadsheetml/2006/main" count="402" uniqueCount="179">
  <si>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</si>
  <si>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</si>
  <si>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</si>
  <si>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</si>
  <si>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</si>
  <si>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</si>
  <si>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</si>
  <si>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</si>
  <si>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</si>
  <si>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</si>
  <si>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</si>
  <si>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</si>
  <si>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</si>
  <si>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</si>
  <si>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</si>
  <si>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</si>
  <si>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</si>
  <si>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</si>
  <si>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</si>
  <si>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</si>
  <si>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</si>
  <si>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</si>
  <si>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</si>
  <si>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</si>
  <si>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</si>
  <si>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</si>
  <si>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</si>
  <si>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</si>
  <si>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</si>
  <si>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</si>
  <si>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</si>
  <si>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</si>
  <si>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</si>
  <si>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</si>
  <si>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</si>
  <si>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</si>
  <si>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</si>
  <si>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</si>
  <si>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</si>
  <si>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</si>
  <si>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</si>
  <si>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</si>
  <si>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</si>
  <si>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</si>
  <si>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</si>
  <si>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</si>
  <si>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</si>
  <si>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</si>
  <si>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</si>
  <si>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</si>
  <si>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</si>
  <si>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</si>
  <si>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</si>
  <si>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</si>
  <si>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</si>
  <si>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</si>
  <si>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</si>
  <si>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</si>
  <si>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</si>
  <si>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</si>
  <si>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</si>
  <si>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</si>
  <si>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</si>
  <si>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</si>
  <si>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</si>
  <si>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</si>
  <si>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</si>
  <si>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</si>
  <si>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</si>
  <si>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</si>
  <si>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</si>
  <si>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</si>
  <si>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</si>
  <si>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</si>
  <si>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</si>
  <si>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</si>
  <si>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</si>
  <si>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</si>
  <si>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</si>
  <si>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</si>
  <si>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</si>
  <si>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</si>
  <si>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</si>
  <si>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</si>
  <si>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</si>
  <si>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</si>
  <si>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</si>
  <si>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</si>
  <si>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</si>
  <si>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</si>
  <si>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</si>
  <si>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</si>
  <si>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</si>
  <si>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</si>
  <si>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</si>
  <si>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</si>
  <si>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</si>
  <si>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</si>
  <si>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</si>
  <si>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</si>
  <si>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</si>
  <si>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</si>
  <si>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</si>
  <si>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</si>
  <si>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</si>
  <si>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</si>
  <si>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</si>
  <si>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</si>
  <si>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</si>
  <si>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</si>
  <si>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</si>
  <si>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</si>
  <si>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</si>
  <si>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</si>
  <si>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</si>
  <si>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</si>
  <si>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</si>
  <si>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</si>
  <si>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</si>
  <si>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</si>
  <si>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</si>
  <si>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</si>
  <si>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</si>
  <si>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</si>
  <si>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</si>
  <si>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</si>
  <si>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</si>
  <si>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</si>
  <si>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</si>
  <si>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</si>
  <si>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</si>
  <si>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</si>
  <si>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</si>
  <si>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</si>
  <si>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</si>
  <si>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</si>
  <si>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</si>
  <si>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</si>
  <si>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</si>
  <si>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</si>
  <si>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</si>
  <si>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</si>
  <si>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</si>
  <si>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</si>
  <si>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</si>
  <si>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</si>
  <si>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</si>
  <si>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</si>
  <si>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</si>
  <si>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</si>
  <si>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</si>
  <si>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</si>
  <si>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</si>
  <si>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</si>
  <si>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</si>
  <si>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</si>
  <si>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</si>
  <si>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</si>
  <si>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</si>
  <si>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</si>
  <si>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</si>
  <si>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</si>
  <si>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</si>
  <si>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</si>
  <si>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</si>
  <si>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</si>
  <si>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</si>
  <si>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</si>
  <si>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</si>
  <si>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</si>
  <si>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</si>
  <si>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</si>
  <si>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</si>
  <si>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</si>
  <si>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</si>
  <si>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</si>
  <si>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</si>
  <si>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</si>
  <si>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DATA -&gt; TEXT TO COLUMNS -&gt;DELIMITER -&gt;NEXT -&gt;  '-'  -&gt;FINISH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</si>
</sst>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D6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colors>
    <mruColors>
      <color rgb="FFD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6" t="s">
        <v>172</v>
      </c>
      <c r="B9" s="26" t="s">
        <v>170</v>
      </c>
    </row>
    <row r="10" spans="1:3" x14ac:dyDescent="0.2">
      <c r="A10" s="35" t="s">
        <v>173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Normal="100" workbookViewId="0">
      <pane ySplit="1" topLeftCell="A14" activePane="bottomLeft" state="frozen"/>
      <selection pane="bottomLeft" activeCell="W1" sqref="W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8" width="12.83203125" style="1" bestFit="1" customWidth="1"/>
    <col min="9" max="9" width="12.83203125" style="1" customWidth="1"/>
    <col min="10" max="12" width="13" style="1" bestFit="1" customWidth="1"/>
    <col min="13" max="13" width="14" style="1" customWidth="1"/>
    <col min="14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/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10" zoomScale="98" zoomScaleNormal="98" workbookViewId="0">
      <selection activeCell="H29" sqref="H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165</v>
      </c>
    </row>
    <row r="2" spans="1:7" s="41" customFormat="1" ht="21" x14ac:dyDescent="0.35">
      <c r="B2" s="41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VLOOKUP(A6,Dataset!A2:V40,7,FALSE)</f>
        <v>2.7</v>
      </c>
      <c r="C6" s="12">
        <f>VLOOKUP(A6,Dataset!A2:V40,14,FALSE)</f>
        <v>7.6</v>
      </c>
      <c r="D6" s="12">
        <f>VLOOKUP(A6,Dataset!A2:V40,18,FALSE)</f>
        <v>4.2</v>
      </c>
      <c r="E6" s="12">
        <f>VLOOKUP(A6,Dataset!A2:W40,20,FALSE)</f>
        <v>8.9</v>
      </c>
      <c r="F6" s="8">
        <f>VLOOKUP(A6,Dataset!A2:W40,22,FALSE)</f>
        <v>4.2</v>
      </c>
    </row>
    <row r="7" spans="1:7" ht="15" x14ac:dyDescent="0.25">
      <c r="A7" s="7" t="s">
        <v>4</v>
      </c>
      <c r="B7" s="12">
        <f>VLOOKUP(A7,Dataset!A3:V41,7,FALSE)</f>
        <v>2.7</v>
      </c>
      <c r="C7" s="12">
        <f>VLOOKUP(A7,Dataset!A3:V41,14,FALSE)</f>
        <v>7.6</v>
      </c>
      <c r="D7" s="12">
        <f>VLOOKUP(A7,Dataset!A3:V41,18,FALSE)</f>
        <v>4.2</v>
      </c>
      <c r="E7" s="12">
        <f>VLOOKUP(A7,Dataset!A3:W41,20,FALSE)</f>
        <v>8.9</v>
      </c>
      <c r="F7" s="8">
        <f>VLOOKUP(A7,Dataset!A3:W41,22,FALSE)</f>
        <v>4.2</v>
      </c>
    </row>
    <row r="8" spans="1:7" ht="15" x14ac:dyDescent="0.25">
      <c r="A8" s="7" t="s">
        <v>7</v>
      </c>
      <c r="B8" s="12">
        <f>VLOOKUP(A8,Dataset!A4:V42,7,FALSE)</f>
        <v>3.6</v>
      </c>
      <c r="C8" s="12">
        <f>VLOOKUP(A8,Dataset!A4:V42,14,FALSE)</f>
        <v>11.1</v>
      </c>
      <c r="D8" s="12">
        <f>VLOOKUP(A8,Dataset!A4:V42,18,FALSE)</f>
        <v>5.8</v>
      </c>
      <c r="E8" s="12">
        <f>VLOOKUP(A8,Dataset!A4:W42,20,FALSE)</f>
        <v>12.2</v>
      </c>
      <c r="F8" s="8">
        <f>VLOOKUP(A8,Dataset!A4:W42,22,FALSE)</f>
        <v>5.8</v>
      </c>
    </row>
    <row r="9" spans="1:7" ht="15" x14ac:dyDescent="0.25">
      <c r="A9" s="7" t="s">
        <v>8</v>
      </c>
      <c r="B9" s="12">
        <f>VLOOKUP(A9,Dataset!A5:V43,7,FALSE)</f>
        <v>4.9000000000000004</v>
      </c>
      <c r="C9" s="12">
        <f>VLOOKUP(A9,Dataset!A5:V43,14,FALSE)</f>
        <v>13.3</v>
      </c>
      <c r="D9" s="12">
        <f>VLOOKUP(A9,Dataset!A5:V43,18,FALSE)</f>
        <v>8.1</v>
      </c>
      <c r="E9" s="12">
        <f>VLOOKUP(A9,Dataset!A5:W43,20,FALSE)</f>
        <v>17</v>
      </c>
      <c r="F9" s="8">
        <f>VLOOKUP(A9,Dataset!A5:W43,22,FALSE)</f>
        <v>8.1</v>
      </c>
    </row>
    <row r="10" spans="1:7" ht="15" x14ac:dyDescent="0.25">
      <c r="A10" s="7" t="s">
        <v>11</v>
      </c>
      <c r="B10" s="12">
        <f>VLOOKUP(A10,Dataset!A6:V44,7,FALSE)</f>
        <v>9.4</v>
      </c>
      <c r="C10" s="12">
        <f>VLOOKUP(A10,Dataset!A6:V44,14,FALSE)</f>
        <v>28.3</v>
      </c>
      <c r="D10" s="12">
        <f>VLOOKUP(A10,Dataset!A6:V44,18,FALSE)</f>
        <v>16.100000000000001</v>
      </c>
      <c r="E10" s="12">
        <f>VLOOKUP(A10,Dataset!A6:W44,20,FALSE)</f>
        <v>32.799999999999997</v>
      </c>
      <c r="F10" s="8">
        <f>VLOOKUP(A10,Dataset!A6:W44,22,FALSE)</f>
        <v>16.100000000000001</v>
      </c>
    </row>
    <row r="11" spans="1:7" ht="15" x14ac:dyDescent="0.25">
      <c r="A11" s="7" t="s">
        <v>12</v>
      </c>
      <c r="B11" s="12">
        <f>VLOOKUP(A11,Dataset!A7:V45,7,FALSE)</f>
        <v>11.6</v>
      </c>
      <c r="C11" s="12">
        <f>VLOOKUP(A11,Dataset!A7:V45,14,FALSE)</f>
        <v>35.200000000000003</v>
      </c>
      <c r="D11" s="12">
        <f>VLOOKUP(A11,Dataset!A7:V45,18,FALSE)</f>
        <v>21.3</v>
      </c>
      <c r="E11" s="12">
        <f>VLOOKUP(A11,Dataset!A7:W45,20,FALSE)</f>
        <v>43</v>
      </c>
      <c r="F11" s="8">
        <f>VLOOKUP(A11,Dataset!A7:W45,22,FALSE)</f>
        <v>21.3</v>
      </c>
    </row>
    <row r="12" spans="1:7" ht="15" x14ac:dyDescent="0.25">
      <c r="A12" s="7" t="s">
        <v>14</v>
      </c>
      <c r="B12" s="12">
        <f>VLOOKUP(A12,Dataset!A8:V46,7,FALSE)</f>
        <v>18.399999999999999</v>
      </c>
      <c r="C12" s="12">
        <f>VLOOKUP(A12,Dataset!A8:V46,14,FALSE)</f>
        <v>55.6</v>
      </c>
      <c r="D12" s="12">
        <f>VLOOKUP(A12,Dataset!A8:V46,18,FALSE)</f>
        <v>33.799999999999997</v>
      </c>
      <c r="E12" s="12">
        <f>VLOOKUP(A12,Dataset!A8:W46,20,FALSE)</f>
        <v>67.900000000000006</v>
      </c>
      <c r="F12" s="8">
        <f>VLOOKUP(A12,Dataset!A8:W46,22,FALSE)</f>
        <v>33.799999999999997</v>
      </c>
    </row>
    <row r="13" spans="1:7" ht="15" x14ac:dyDescent="0.25">
      <c r="A13" s="7" t="s">
        <v>15</v>
      </c>
      <c r="B13" s="12">
        <f>VLOOKUP(A13,Dataset!A9:V47,7,FALSE)</f>
        <v>0</v>
      </c>
      <c r="C13" s="12">
        <f>VLOOKUP(A13,Dataset!A9:V47,14,FALSE)</f>
        <v>0</v>
      </c>
      <c r="D13" s="12">
        <f>VLOOKUP(A13,Dataset!A9:V47,18,FALSE)</f>
        <v>0</v>
      </c>
      <c r="E13" s="12">
        <f>VLOOKUP(A13,Dataset!A9:W47,20,FALSE)</f>
        <v>0</v>
      </c>
      <c r="F13" s="8">
        <f>VLOOKUP(A13,Dataset!A9:W47,22,FALSE)</f>
        <v>0</v>
      </c>
    </row>
    <row r="14" spans="1:7" ht="15" x14ac:dyDescent="0.25">
      <c r="A14" s="7" t="s">
        <v>16</v>
      </c>
      <c r="B14" s="12">
        <f>VLOOKUP(A14,Dataset!A10:V48,7,FALSE)</f>
        <v>21.9</v>
      </c>
      <c r="C14" s="12">
        <f>VLOOKUP(A14,Dataset!A10:V48,14,FALSE)</f>
        <v>61.5</v>
      </c>
      <c r="D14" s="12">
        <f>VLOOKUP(A14,Dataset!A10:V48,18,FALSE)</f>
        <v>40.1</v>
      </c>
      <c r="E14" s="12">
        <f>VLOOKUP(A14,Dataset!A10:W48,20,FALSE)</f>
        <v>76.599999999999994</v>
      </c>
      <c r="F14" s="8">
        <f>VLOOKUP(A14,Dataset!A10:W48,22,FALSE)</f>
        <v>40.1</v>
      </c>
    </row>
    <row r="15" spans="1:7" ht="15" x14ac:dyDescent="0.25">
      <c r="A15" s="7" t="s">
        <v>18</v>
      </c>
      <c r="B15" s="12">
        <f>VLOOKUP(A15,Dataset!A11:V49,7,FALSE)</f>
        <v>26.8</v>
      </c>
      <c r="C15" s="12">
        <f>VLOOKUP(A15,Dataset!A11:V49,14,FALSE)</f>
        <v>79.599999999999994</v>
      </c>
      <c r="D15" s="12">
        <f>VLOOKUP(A15,Dataset!A11:V49,18,FALSE)</f>
        <v>47.9</v>
      </c>
      <c r="E15" s="12">
        <f>VLOOKUP(A15,Dataset!A11:W49,20,FALSE)</f>
        <v>96.8</v>
      </c>
      <c r="F15" s="8">
        <f>VLOOKUP(A15,Dataset!A11:W49,22,FALSE)</f>
        <v>47.9</v>
      </c>
    </row>
    <row r="16" spans="1:7" ht="15" x14ac:dyDescent="0.25">
      <c r="A16" s="7" t="s">
        <v>20</v>
      </c>
      <c r="B16" s="12">
        <f>VLOOKUP(A16,Dataset!A12:V50,7,FALSE)</f>
        <v>28.5</v>
      </c>
      <c r="C16" s="12">
        <f>VLOOKUP(A16,Dataset!A12:V50,14,FALSE)</f>
        <v>85.4</v>
      </c>
      <c r="D16" s="12">
        <f>VLOOKUP(A16,Dataset!A12:V50,18,FALSE)</f>
        <v>52.3</v>
      </c>
      <c r="E16" s="12">
        <f>VLOOKUP(A16,Dataset!A12:W50,20,FALSE)</f>
        <v>106.1</v>
      </c>
      <c r="F16" s="8">
        <f>VLOOKUP(A16,Dataset!A12:W50,22,FALSE)</f>
        <v>52.3</v>
      </c>
    </row>
    <row r="17" spans="1:6" ht="15" x14ac:dyDescent="0.25">
      <c r="A17" s="7" t="s">
        <v>22</v>
      </c>
      <c r="B17" s="12">
        <f>VLOOKUP(A17,Dataset!A13:V51,7,FALSE)</f>
        <v>30.7</v>
      </c>
      <c r="C17" s="12">
        <f>VLOOKUP(A17,Dataset!A13:V51,14,FALSE)</f>
        <v>92.1</v>
      </c>
      <c r="D17" s="12">
        <f>VLOOKUP(A17,Dataset!A13:V51,18,FALSE)</f>
        <v>57</v>
      </c>
      <c r="E17" s="12">
        <f>VLOOKUP(A17,Dataset!A13:W51,20,FALSE)</f>
        <v>115.1</v>
      </c>
      <c r="F17" s="8">
        <f>VLOOKUP(A17,Dataset!A13:W51,22,FALSE)</f>
        <v>57</v>
      </c>
    </row>
    <row r="18" spans="1:6" ht="15" x14ac:dyDescent="0.25">
      <c r="A18" s="7" t="s">
        <v>23</v>
      </c>
      <c r="B18" s="12">
        <f>VLOOKUP(A18,Dataset!A14:V52,7,FALSE)</f>
        <v>33.799999999999997</v>
      </c>
      <c r="C18" s="12">
        <f>VLOOKUP(A18,Dataset!A14:V52,14,FALSE)</f>
        <v>101.3</v>
      </c>
      <c r="D18" s="12">
        <f>VLOOKUP(A18,Dataset!A14:V52,18,FALSE)</f>
        <v>61.4</v>
      </c>
      <c r="E18" s="12">
        <f>VLOOKUP(A18,Dataset!A14:W52,20,FALSE)</f>
        <v>124.4</v>
      </c>
      <c r="F18" s="8">
        <f>VLOOKUP(A18,Dataset!A14:W52,22,FALSE)</f>
        <v>61.4</v>
      </c>
    </row>
    <row r="19" spans="1:6" ht="15" x14ac:dyDescent="0.25">
      <c r="A19" s="7" t="s">
        <v>24</v>
      </c>
      <c r="B19" s="12">
        <f>VLOOKUP(A19,Dataset!A15:V53,7,FALSE)</f>
        <v>34.700000000000003</v>
      </c>
      <c r="C19" s="12">
        <f>VLOOKUP(A19,Dataset!A15:V53,14,FALSE)</f>
        <v>106.1</v>
      </c>
      <c r="D19" s="12">
        <f>VLOOKUP(A19,Dataset!A15:V53,18,FALSE)</f>
        <v>63.6</v>
      </c>
      <c r="E19" s="12">
        <f>VLOOKUP(A19,Dataset!A15:W53,20,FALSE)</f>
        <v>128.6</v>
      </c>
      <c r="F19" s="8">
        <f>VLOOKUP(A19,Dataset!A15:W53,22,FALSE)</f>
        <v>63.6</v>
      </c>
    </row>
    <row r="20" spans="1:6" ht="15" x14ac:dyDescent="0.25">
      <c r="A20" s="7" t="s">
        <v>28</v>
      </c>
      <c r="B20" s="12">
        <f>VLOOKUP(A20,Dataset!A16:V54,7,FALSE)</f>
        <v>0</v>
      </c>
      <c r="C20" s="12">
        <f>VLOOKUP(A20,Dataset!A16:V54,14,FALSE)</f>
        <v>0</v>
      </c>
      <c r="D20" s="12">
        <f>VLOOKUP(A20,Dataset!A16:V54,18,FALSE)</f>
        <v>0</v>
      </c>
      <c r="E20" s="12">
        <f>VLOOKUP(A20,Dataset!A16:W54,20,FALSE)</f>
        <v>0</v>
      </c>
      <c r="F20" s="8">
        <f>VLOOKUP(A20,Dataset!A16:W54,22,FALSE)</f>
        <v>0</v>
      </c>
    </row>
    <row r="21" spans="1:6" ht="15" x14ac:dyDescent="0.25">
      <c r="A21" s="7" t="s">
        <v>57</v>
      </c>
      <c r="B21" s="12">
        <f>VLOOKUP(A21,Dataset!A17:V55,7,FALSE)</f>
        <v>41.3</v>
      </c>
      <c r="C21" s="12">
        <f>VLOOKUP(A21,Dataset!A17:V55,14,FALSE)</f>
        <v>124.4</v>
      </c>
      <c r="D21" s="12">
        <f>VLOOKUP(A21,Dataset!A17:V55,18,FALSE)</f>
        <v>75</v>
      </c>
      <c r="E21" s="12">
        <f>VLOOKUP(A21,Dataset!A17:W55,20,FALSE)</f>
        <v>151.5</v>
      </c>
      <c r="F21" s="8">
        <f>VLOOKUP(A21,Dataset!A17:W55,22,FALSE)</f>
        <v>75</v>
      </c>
    </row>
    <row r="22" spans="1:6" ht="15" x14ac:dyDescent="0.25">
      <c r="A22" s="7" t="s">
        <v>58</v>
      </c>
      <c r="B22" s="12">
        <f>VLOOKUP(A22,Dataset!A18:V56,7,FALSE)</f>
        <v>-1</v>
      </c>
      <c r="C22" s="12">
        <f>VLOOKUP(A22,Dataset!A18:V56,14,FALSE)</f>
        <v>-1</v>
      </c>
      <c r="D22" s="12">
        <f>VLOOKUP(A22,Dataset!A18:V56,18,FALSE)</f>
        <v>-1</v>
      </c>
      <c r="E22" s="12">
        <f>VLOOKUP(A22,Dataset!A18:W56,20,FALSE)</f>
        <v>-1</v>
      </c>
      <c r="F22" s="8">
        <f>VLOOKUP(A22,Dataset!A18:W56,22,FALSE)</f>
        <v>-1</v>
      </c>
    </row>
    <row r="23" spans="1:6" ht="15" x14ac:dyDescent="0.25">
      <c r="A23" s="7" t="s">
        <v>31</v>
      </c>
      <c r="B23" s="12">
        <f>VLOOKUP(A23,Dataset!A19:V57,7,FALSE)</f>
        <v>45</v>
      </c>
      <c r="C23" s="12">
        <f>VLOOKUP(A23,Dataset!A19:V57,14,FALSE)</f>
        <v>133.4</v>
      </c>
      <c r="D23" s="12">
        <f>VLOOKUP(A23,Dataset!A19:V57,18,FALSE)</f>
        <v>79.400000000000006</v>
      </c>
      <c r="E23" s="12">
        <f>VLOOKUP(A23,Dataset!A19:W57,20,FALSE)</f>
        <v>160.9</v>
      </c>
      <c r="F23" s="8">
        <f>VLOOKUP(A23,Dataset!A19:W57,22,FALSE)</f>
        <v>79.400000000000006</v>
      </c>
    </row>
    <row r="24" spans="1:6" ht="15" x14ac:dyDescent="0.25">
      <c r="A24" s="7" t="s">
        <v>32</v>
      </c>
      <c r="B24" s="12">
        <f>VLOOKUP(A24,Dataset!A20:V58,7,FALSE)</f>
        <v>-1</v>
      </c>
      <c r="C24" s="12">
        <f>VLOOKUP(A24,Dataset!A20:V58,14,FALSE)</f>
        <v>-1</v>
      </c>
      <c r="D24" s="12">
        <f>VLOOKUP(A24,Dataset!A20:V58,18,FALSE)</f>
        <v>-1</v>
      </c>
      <c r="E24" s="12">
        <f>VLOOKUP(A24,Dataset!A20:W58,20,FALSE)</f>
        <v>-1</v>
      </c>
      <c r="F24" s="8">
        <f>VLOOKUP(A24,Dataset!A20:W58,22,FALSE)</f>
        <v>-1</v>
      </c>
    </row>
    <row r="25" spans="1:6" ht="15" x14ac:dyDescent="0.25">
      <c r="A25" s="7" t="s">
        <v>34</v>
      </c>
      <c r="B25" s="12">
        <f>VLOOKUP(A25,Dataset!A21:V59,7,FALSE)</f>
        <v>43.3</v>
      </c>
      <c r="C25" s="12">
        <f>VLOOKUP(A25,Dataset!A21:V59,14,FALSE)</f>
        <v>128.6</v>
      </c>
      <c r="D25" s="12">
        <f>VLOOKUP(A25,Dataset!A21:V59,18,FALSE)</f>
        <v>79.400000000000006</v>
      </c>
      <c r="E25" s="12">
        <f>VLOOKUP(A25,Dataset!A21:W59,20,FALSE)</f>
        <v>160.9</v>
      </c>
      <c r="F25" s="8">
        <f>VLOOKUP(A25,Dataset!A21:W59,22,FALSE)</f>
        <v>79.400000000000006</v>
      </c>
    </row>
    <row r="26" spans="1:6" ht="15" x14ac:dyDescent="0.25">
      <c r="A26" s="7" t="s">
        <v>37</v>
      </c>
      <c r="B26" s="12">
        <f>VLOOKUP(A26,Dataset!A22:V60,7,FALSE)</f>
        <v>49.1</v>
      </c>
      <c r="C26" s="12">
        <f>VLOOKUP(A26,Dataset!A22:V60,14,FALSE)</f>
        <v>146.80000000000001</v>
      </c>
      <c r="D26" s="12">
        <f>VLOOKUP(A26,Dataset!A22:V60,18,FALSE)</f>
        <v>90.9</v>
      </c>
      <c r="E26" s="12">
        <f>VLOOKUP(A26,Dataset!A22:W60,20,FALSE)</f>
        <v>183.5</v>
      </c>
      <c r="F26" s="8">
        <f>VLOOKUP(A26,Dataset!A22:W60,22,FALSE)</f>
        <v>90.9</v>
      </c>
    </row>
    <row r="27" spans="1:6" ht="15" x14ac:dyDescent="0.25">
      <c r="A27" s="7" t="s">
        <v>39</v>
      </c>
      <c r="B27" s="12">
        <f>VLOOKUP(A27,Dataset!A23:V61,7,FALSE)</f>
        <v>51.8</v>
      </c>
      <c r="C27" s="12">
        <f>VLOOKUP(A27,Dataset!A23:V61,14,FALSE)</f>
        <v>156.4</v>
      </c>
      <c r="D27" s="12">
        <f>VLOOKUP(A27,Dataset!A23:V61,18,FALSE)</f>
        <v>93.1</v>
      </c>
      <c r="E27" s="12">
        <f>VLOOKUP(A27,Dataset!A23:W61,20,FALSE)</f>
        <v>188.1</v>
      </c>
      <c r="F27" s="8">
        <f>VLOOKUP(A27,Dataset!A23:W61,22,FALSE)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43" zoomScaleNormal="100" workbookViewId="0">
      <selection activeCell="I7" sqref="I7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3" t="s">
        <v>53</v>
      </c>
      <c r="B5" s="40" t="s">
        <v>178</v>
      </c>
    </row>
    <row r="6" spans="1:10" ht="18.75" x14ac:dyDescent="0.3">
      <c r="A6" s="43" t="s">
        <v>154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166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163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abSelected="1" topLeftCell="A5" zoomScaleNormal="100" workbookViewId="0">
      <selection activeCell="F13" sqref="F1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168</v>
      </c>
    </row>
    <row r="2" spans="1:3" ht="18.75" x14ac:dyDescent="0.3">
      <c r="B2" s="40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154</v>
      </c>
      <c r="B7" s="1"/>
    </row>
    <row r="10" spans="1:3" ht="23.25" x14ac:dyDescent="0.35">
      <c r="A10" s="18" t="s">
        <v>163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155</v>
      </c>
      <c r="C17" s="17">
        <v>150</v>
      </c>
    </row>
    <row r="18" spans="1:3" ht="15" x14ac:dyDescent="0.25">
      <c r="A18" s="32">
        <v>44933</v>
      </c>
      <c r="B18" s="17" t="s">
        <v>156</v>
      </c>
      <c r="C18" s="17">
        <v>80</v>
      </c>
    </row>
    <row r="19" spans="1:3" ht="15" x14ac:dyDescent="0.25">
      <c r="A19" s="32">
        <v>44934</v>
      </c>
      <c r="B19" s="17" t="s">
        <v>157</v>
      </c>
      <c r="C19" s="17" t="e">
        <v>#N/A</v>
      </c>
    </row>
    <row r="20" spans="1:3" ht="15" x14ac:dyDescent="0.25">
      <c r="A20" s="32">
        <v>44935</v>
      </c>
      <c r="B20" s="17" t="s">
        <v>158</v>
      </c>
      <c r="C20" s="17">
        <v>30</v>
      </c>
    </row>
    <row r="21" spans="1:3" ht="15" x14ac:dyDescent="0.25">
      <c r="A21" s="32">
        <v>44936</v>
      </c>
      <c r="B21" s="17" t="s">
        <v>159</v>
      </c>
      <c r="C21" s="17" t="e">
        <v>#N/A</v>
      </c>
    </row>
    <row r="22" spans="1:3" ht="15" x14ac:dyDescent="0.25">
      <c r="B22" s="17" t="s">
        <v>160</v>
      </c>
      <c r="C22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C24" sqref="C2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176</v>
      </c>
    </row>
    <row r="3" spans="1:14" ht="15" x14ac:dyDescent="0.25">
      <c r="B3" s="1" t="s">
        <v>152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154</v>
      </c>
      <c r="B5" s="1"/>
    </row>
    <row r="6" spans="1:14" ht="15" x14ac:dyDescent="0.25">
      <c r="A6" s="3"/>
      <c r="B6" s="1"/>
    </row>
    <row r="8" spans="1:14" ht="23.25" x14ac:dyDescent="0.35">
      <c r="A8" s="18" t="s">
        <v>163</v>
      </c>
      <c r="M8" s="18" t="s">
        <v>164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169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2023-12-10T11:10:28Z</dcterms:modified>
</cp:coreProperties>
</file>